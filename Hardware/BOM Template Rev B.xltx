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30" yWindow="195" windowWidth="15165" windowHeight="8700"/>
  </bookViews>
  <sheets>
    <sheet name="BOM Report" sheetId="1" r:id="rId1"/>
    <sheet name="BOM Change Log" sheetId="2" r:id="rId2"/>
  </sheets>
  <externalReferences>
    <externalReference r:id="rId3"/>
  </externalReferences>
  <definedNames>
    <definedName name="_xlnm._FilterDatabase" localSheetId="0" hidden="1">'BOM Report'!$A$8:$H$11</definedName>
  </definedNames>
  <calcPr calcId="145621"/>
</workbook>
</file>

<file path=xl/calcChain.xml><?xml version="1.0" encoding="utf-8"?>
<calcChain xmlns="http://schemas.openxmlformats.org/spreadsheetml/2006/main">
  <c r="K11" i="1" l="1"/>
  <c r="K10" i="1"/>
  <c r="K9" i="1"/>
  <c r="J11" i="1"/>
  <c r="J10" i="1"/>
  <c r="J9" i="1"/>
  <c r="F40" i="1" l="1"/>
  <c r="A9" i="1" l="1"/>
  <c r="F31" i="1" l="1"/>
  <c r="I31" i="1" s="1"/>
  <c r="I33" i="1" s="1"/>
  <c r="I17" i="1"/>
  <c r="I16" i="1"/>
  <c r="I15" i="1"/>
  <c r="I13" i="1" l="1"/>
  <c r="I20" i="1" s="1"/>
  <c r="I35" i="1" s="1"/>
  <c r="I37" i="1" s="1"/>
  <c r="A10" i="1"/>
  <c r="A11" i="1" s="1"/>
</calcChain>
</file>

<file path=xl/sharedStrings.xml><?xml version="1.0" encoding="utf-8"?>
<sst xmlns="http://schemas.openxmlformats.org/spreadsheetml/2006/main" count="58" uniqueCount="51">
  <si>
    <t>Column=Quantity</t>
  </si>
  <si>
    <t>Column=Designator</t>
  </si>
  <si>
    <t>Field=VariantName</t>
  </si>
  <si>
    <t>Field=ReportDate</t>
  </si>
  <si>
    <t>Field=ReportTime</t>
  </si>
  <si>
    <t>Bill of Materials</t>
  </si>
  <si>
    <t>Cost</t>
  </si>
  <si>
    <t>EXT cost</t>
  </si>
  <si>
    <t>Created by:</t>
  </si>
  <si>
    <t>Created on:</t>
  </si>
  <si>
    <t>Board Revision:</t>
  </si>
  <si>
    <t>BOM Revision</t>
  </si>
  <si>
    <t>Qty to be built:</t>
  </si>
  <si>
    <t>Assembly P/N</t>
  </si>
  <si>
    <t>Board:</t>
  </si>
  <si>
    <t>Column=Technology</t>
  </si>
  <si>
    <t>Total Parts</t>
  </si>
  <si>
    <t>Shop Supplies</t>
  </si>
  <si>
    <t>Solder (Paste, Wave, Hand)</t>
  </si>
  <si>
    <t>Flux</t>
  </si>
  <si>
    <t>Kapton tape</t>
  </si>
  <si>
    <t>Total Material:</t>
  </si>
  <si>
    <t>LABOR:</t>
  </si>
  <si>
    <t>Soldering</t>
  </si>
  <si>
    <t>minutes</t>
  </si>
  <si>
    <t>Solder touch up</t>
  </si>
  <si>
    <t>Programming</t>
  </si>
  <si>
    <t>Testing</t>
  </si>
  <si>
    <t>Mounting &amp; Packaging</t>
  </si>
  <si>
    <t>Assembly</t>
  </si>
  <si>
    <t>Setup/Rework</t>
  </si>
  <si>
    <t xml:space="preserve">Cost = </t>
  </si>
  <si>
    <t>Total Labor:</t>
  </si>
  <si>
    <t>Total (Mat + labor):</t>
  </si>
  <si>
    <t>Net Sell:</t>
  </si>
  <si>
    <t>per hour</t>
  </si>
  <si>
    <t>Field=DrawnBy</t>
  </si>
  <si>
    <t>Field=Revision</t>
  </si>
  <si>
    <t>Field=ProjectName</t>
  </si>
  <si>
    <t>Column=Value</t>
  </si>
  <si>
    <t>Item #</t>
  </si>
  <si>
    <t>Revision</t>
  </si>
  <si>
    <t>Author</t>
  </si>
  <si>
    <t>Date</t>
  </si>
  <si>
    <t>Notes</t>
  </si>
  <si>
    <t>A</t>
  </si>
  <si>
    <t>Qty total</t>
  </si>
  <si>
    <t>Column=Supplier 1</t>
  </si>
  <si>
    <t>Column=Supplier Part Number 1</t>
  </si>
  <si>
    <t>Column=Manufacturer 1</t>
  </si>
  <si>
    <t>Column=Manufacturer Part Number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</si>
</sst>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#,##0.00000"/>
    <numFmt numFmtId="166" formatCode="&quot;$&quot;#,##0.00"/>
    <numFmt numFmtId="167" formatCode="&quot;$&quot;#,##0.000"/>
    <numFmt numFmtId="168" formatCode="&quot;$&quot;#,##0.00_);[Red]\(&quot;$&quot;#,##0.00\)"/>
    <numFmt numFmtId="169" formatCode="[$-1009]mmmm\ d\,\ yyyy;@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0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164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5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3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/>
    <xf numFmtId="165" fontId="2" fillId="0" borderId="0" xfId="0" applyNumberFormat="1" applyFont="1"/>
    <xf numFmtId="0" fontId="2" fillId="0" borderId="0" xfId="0" applyFont="1" applyAlignment="1">
      <alignment horizontal="center"/>
    </xf>
    <xf numFmtId="166" fontId="2" fillId="0" borderId="0" xfId="0" applyNumberFormat="1" applyFont="1"/>
    <xf numFmtId="0" fontId="2" fillId="4" borderId="0" xfId="0" applyFont="1" applyFill="1" applyBorder="1"/>
    <xf numFmtId="166" fontId="3" fillId="0" borderId="0" xfId="0" applyNumberFormat="1" applyFont="1"/>
    <xf numFmtId="0" fontId="3" fillId="0" borderId="0" xfId="0" applyFont="1"/>
    <xf numFmtId="167" fontId="2" fillId="0" borderId="0" xfId="0" applyNumberFormat="1" applyFont="1"/>
    <xf numFmtId="0" fontId="2" fillId="0" borderId="0" xfId="0" applyNumberFormat="1" applyFont="1"/>
    <xf numFmtId="164" fontId="2" fillId="0" borderId="0" xfId="1" applyFont="1"/>
    <xf numFmtId="165" fontId="3" fillId="0" borderId="0" xfId="1" applyNumberFormat="1" applyFont="1"/>
    <xf numFmtId="165" fontId="3" fillId="5" borderId="0" xfId="1" applyNumberFormat="1" applyFont="1" applyFill="1"/>
    <xf numFmtId="0" fontId="3" fillId="5" borderId="0" xfId="0" applyFont="1" applyFill="1" applyAlignment="1">
      <alignment horizontal="center"/>
    </xf>
    <xf numFmtId="166" fontId="3" fillId="5" borderId="0" xfId="0" applyNumberFormat="1" applyFont="1" applyFill="1"/>
    <xf numFmtId="168" fontId="2" fillId="0" borderId="0" xfId="0" applyNumberFormat="1" applyFont="1"/>
    <xf numFmtId="0" fontId="3" fillId="0" borderId="0" xfId="0" applyFont="1" applyFill="1" applyBorder="1"/>
    <xf numFmtId="0" fontId="2" fillId="0" borderId="0" xfId="0" applyFont="1" applyFill="1" applyBorder="1"/>
    <xf numFmtId="164" fontId="2" fillId="0" borderId="3" xfId="1" quotePrefix="1" applyFont="1" applyFill="1" applyBorder="1" applyAlignment="1">
      <alignment horizontal="right" vertical="center"/>
    </xf>
    <xf numFmtId="169" fontId="3" fillId="0" borderId="1" xfId="0" applyNumberFormat="1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2" fillId="0" borderId="0" xfId="0" applyNumberFormat="1" applyFont="1" applyAlignment="1">
      <alignment horizontal="left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left" vertical="center"/>
    </xf>
    <xf numFmtId="0" fontId="3" fillId="0" borderId="4" xfId="0" applyFont="1" applyBorder="1" applyAlignment="1">
      <alignment vertical="center"/>
    </xf>
    <xf numFmtId="169" fontId="0" fillId="0" borderId="13" xfId="0" applyNumberFormat="1" applyBorder="1" applyAlignment="1">
      <alignment horizontal="left"/>
    </xf>
    <xf numFmtId="169" fontId="0" fillId="0" borderId="14" xfId="0" applyNumberFormat="1" applyBorder="1" applyAlignment="1">
      <alignment horizontal="left"/>
    </xf>
    <xf numFmtId="169" fontId="0" fillId="0" borderId="14" xfId="0" applyNumberFormat="1" applyBorder="1"/>
    <xf numFmtId="169" fontId="0" fillId="0" borderId="15" xfId="0" applyNumberFormat="1" applyBorder="1"/>
    <xf numFmtId="0" fontId="2" fillId="0" borderId="16" xfId="15" applyBorder="1" applyAlignment="1">
      <alignment horizontal="center" vertical="center"/>
    </xf>
    <xf numFmtId="0" fontId="2" fillId="0" borderId="17" xfId="15" applyBorder="1" applyAlignment="1">
      <alignment horizontal="center" vertical="center"/>
    </xf>
    <xf numFmtId="169" fontId="2" fillId="0" borderId="18" xfId="15" applyNumberForma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3" xfId="17" quotePrefix="1" applyNumberFormat="1" applyFont="1" applyFill="1" applyBorder="1" applyAlignment="1">
      <alignment horizontal="center" vertical="center"/>
    </xf>
    <xf numFmtId="164" fontId="2" fillId="0" borderId="3" xfId="1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  <xf numFmtId="165" fontId="3" fillId="0" borderId="0" xfId="1" applyNumberFormat="1" applyFont="1" applyAlignment="1">
      <alignment horizontal="left"/>
    </xf>
    <xf numFmtId="167" fontId="3" fillId="0" borderId="0" xfId="0" applyNumberFormat="1" applyFont="1" applyAlignment="1">
      <alignment horizontal="left"/>
    </xf>
    <xf numFmtId="0" fontId="2" fillId="0" borderId="0" xfId="0" applyFont="1" applyFill="1" applyBorder="1" applyAlignment="1">
      <alignment vertical="top" wrapText="1"/>
    </xf>
    <xf numFmtId="0" fontId="3" fillId="0" borderId="5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</cellXfs>
  <cellStyles count="18">
    <cellStyle name="Comma" xfId="17" builtinId="3"/>
    <cellStyle name="Currency" xfId="1" builtinId="4"/>
    <cellStyle name="Currency 2" xfId="2"/>
    <cellStyle name="Currency 2 2" xfId="11"/>
    <cellStyle name="Currency 2 3" xfId="7"/>
    <cellStyle name="Currency 3" xfId="3"/>
    <cellStyle name="Currency 3 2" xfId="12"/>
    <cellStyle name="Currency 3 3" xfId="8"/>
    <cellStyle name="Hyperlink 2" xfId="4"/>
    <cellStyle name="Normal" xfId="0" builtinId="0"/>
    <cellStyle name="Normal 2" xfId="5"/>
    <cellStyle name="Normal 2 2" xfId="13"/>
    <cellStyle name="Normal 2 3" xfId="9"/>
    <cellStyle name="Normal 3" xfId="6"/>
    <cellStyle name="Normal 3 2" xfId="14"/>
    <cellStyle name="Normal 3 3" xfId="10"/>
    <cellStyle name="Normal 4" xfId="15"/>
    <cellStyle name="Normal 5" xfId="16"/>
  </cellStyles>
  <dxfs count="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gfile01\Data\Groups\EDC\BOM\Dynamic%20BOM%20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B1">
            <v>17.23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44"/>
  <sheetViews>
    <sheetView showGridLines="0" tabSelected="1" zoomScaleNormal="100" workbookViewId="0">
      <pane ySplit="8" topLeftCell="A9" activePane="bottomLeft" state="frozen"/>
      <selection pane="bottomLeft" activeCell="E9" sqref="E9"/>
    </sheetView>
  </sheetViews>
  <sheetFormatPr defaultColWidth="14.140625" defaultRowHeight="12.75" x14ac:dyDescent="0.2"/>
  <cols>
    <col min="1" max="1" width="6" style="1" bestFit="1" customWidth="1"/>
    <col min="2" max="2" width="15" style="12" bestFit="1" customWidth="1"/>
    <col min="3" max="3" width="18.85546875" style="12" bestFit="1" customWidth="1"/>
    <col min="4" max="4" width="17.5703125" style="1" bestFit="1" customWidth="1"/>
    <col min="5" max="5" width="24.42578125" style="1" bestFit="1" customWidth="1"/>
    <col min="6" max="6" width="19.42578125" style="1" bestFit="1" customWidth="1"/>
    <col min="7" max="7" width="14.5703125" style="1" bestFit="1" customWidth="1"/>
    <col min="8" max="8" width="17.42578125" style="1" bestFit="1" customWidth="1"/>
    <col min="9" max="9" width="6.7109375" style="1" bestFit="1" customWidth="1"/>
    <col min="10" max="10" width="8.140625" style="1" bestFit="1" customWidth="1"/>
    <col min="11" max="11" width="8.140625" style="1" customWidth="1"/>
    <col min="12" max="12" width="17.7109375" style="1" hidden="1" customWidth="1"/>
    <col min="13" max="16384" width="14.140625" style="1"/>
  </cols>
  <sheetData>
    <row r="1" spans="1:13" ht="13.5" thickBot="1" x14ac:dyDescent="0.25">
      <c r="A1" s="41"/>
      <c r="B1" s="42"/>
      <c r="C1" s="42"/>
      <c r="D1" s="43"/>
      <c r="E1" s="44"/>
      <c r="F1" s="44"/>
      <c r="G1" s="44"/>
      <c r="H1" s="44"/>
      <c r="I1" s="44"/>
      <c r="J1" s="44"/>
      <c r="K1" s="44"/>
      <c r="L1" s="44"/>
      <c r="M1" s="45"/>
    </row>
    <row r="2" spans="1:13" ht="37.5" customHeight="1" thickBot="1" x14ac:dyDescent="0.25">
      <c r="A2" s="67" t="s">
        <v>5</v>
      </c>
      <c r="B2" s="68"/>
      <c r="C2" s="68"/>
      <c r="D2" s="68"/>
      <c r="E2" s="46"/>
      <c r="F2" s="47"/>
      <c r="G2" s="47"/>
      <c r="H2" s="47"/>
      <c r="I2" s="47"/>
      <c r="J2" s="47"/>
      <c r="K2" s="47"/>
      <c r="L2" s="47"/>
      <c r="M2" s="40"/>
    </row>
    <row r="3" spans="1:13" ht="17.25" customHeight="1" x14ac:dyDescent="0.2">
      <c r="A3" s="65" t="s">
        <v>8</v>
      </c>
      <c r="B3" s="66"/>
      <c r="C3" s="69" t="s">
        <v>36</v>
      </c>
      <c r="D3" s="69"/>
      <c r="E3" s="2"/>
    </row>
    <row r="4" spans="1:13" ht="17.25" customHeight="1" x14ac:dyDescent="0.2">
      <c r="A4" s="65" t="s">
        <v>9</v>
      </c>
      <c r="B4" s="66"/>
      <c r="C4" s="35" t="s">
        <v>3</v>
      </c>
      <c r="D4" s="3" t="s">
        <v>4</v>
      </c>
      <c r="E4" s="10"/>
      <c r="F4" s="15" t="s">
        <v>12</v>
      </c>
      <c r="G4" s="36">
        <v>1</v>
      </c>
      <c r="H4" s="2"/>
    </row>
    <row r="5" spans="1:13" ht="17.25" customHeight="1" x14ac:dyDescent="0.2">
      <c r="A5" s="65" t="s">
        <v>14</v>
      </c>
      <c r="B5" s="66"/>
      <c r="C5" s="50" t="s">
        <v>38</v>
      </c>
      <c r="D5" s="50"/>
      <c r="E5" s="16"/>
      <c r="F5" s="15" t="s">
        <v>10</v>
      </c>
      <c r="G5" s="36" t="s">
        <v>37</v>
      </c>
      <c r="H5" s="15"/>
    </row>
    <row r="6" spans="1:13" ht="17.25" customHeight="1" x14ac:dyDescent="0.2">
      <c r="A6" s="65" t="s">
        <v>13</v>
      </c>
      <c r="B6" s="66"/>
      <c r="C6" s="50" t="s">
        <v>2</v>
      </c>
      <c r="D6" s="50"/>
      <c r="E6" s="16"/>
      <c r="F6" s="15" t="s">
        <v>11</v>
      </c>
      <c r="G6" s="36"/>
      <c r="H6" s="2"/>
    </row>
    <row r="7" spans="1:13" x14ac:dyDescent="0.2">
      <c r="A7" s="5"/>
      <c r="B7" s="3"/>
      <c r="C7" s="6"/>
      <c r="D7" s="4"/>
      <c r="E7" s="7"/>
      <c r="F7" s="7"/>
      <c r="G7" s="4"/>
      <c r="H7" s="4"/>
    </row>
    <row r="8" spans="1:13" s="13" customFormat="1" x14ac:dyDescent="0.2">
      <c r="A8" s="48" t="s">
        <v>40</v>
      </c>
      <c r="B8" s="48" t="s">
        <v>0</v>
      </c>
      <c r="C8" s="48" t="s">
        <v>1</v>
      </c>
      <c r="D8" s="48" t="s">
        <v>39</v>
      </c>
      <c r="E8" s="48" t="s">
        <v>50</v>
      </c>
      <c r="F8" s="48" t="s">
        <v>49</v>
      </c>
      <c r="G8" s="48" t="s">
        <v>47</v>
      </c>
      <c r="H8" s="48" t="s">
        <v>48</v>
      </c>
      <c r="I8" s="48" t="s">
        <v>6</v>
      </c>
      <c r="J8" s="48" t="s">
        <v>7</v>
      </c>
      <c r="K8" s="48" t="s">
        <v>46</v>
      </c>
      <c r="L8" s="48" t="s">
        <v>15</v>
      </c>
    </row>
    <row r="9" spans="1:13" s="10" customFormat="1" x14ac:dyDescent="0.2">
      <c r="A9" s="14">
        <f>IF(A8=A$8,1,A8+1)</f>
        <v>1</v>
      </c>
      <c r="B9" s="14"/>
      <c r="C9" s="11"/>
      <c r="D9" s="9"/>
      <c r="E9" s="8"/>
      <c r="F9" s="49"/>
      <c r="G9" s="8"/>
      <c r="H9" s="8"/>
      <c r="I9" s="60"/>
      <c r="J9" s="34">
        <f>I9*B9</f>
        <v>0</v>
      </c>
      <c r="K9" s="59">
        <f>B9*G$4</f>
        <v>0</v>
      </c>
      <c r="L9" s="58"/>
    </row>
    <row r="10" spans="1:13" s="10" customFormat="1" x14ac:dyDescent="0.2">
      <c r="A10" s="14">
        <f>IF(A9=A$8,1,A9+1)</f>
        <v>2</v>
      </c>
      <c r="B10" s="14"/>
      <c r="C10" s="11"/>
      <c r="D10" s="9"/>
      <c r="E10" s="8"/>
      <c r="F10" s="49"/>
      <c r="G10" s="8"/>
      <c r="H10" s="8"/>
      <c r="I10" s="60"/>
      <c r="J10" s="34">
        <f>I10*B10</f>
        <v>0</v>
      </c>
      <c r="K10" s="59">
        <f>B10*G$4</f>
        <v>0</v>
      </c>
      <c r="L10" s="58"/>
    </row>
    <row r="11" spans="1:13" s="10" customFormat="1" x14ac:dyDescent="0.2">
      <c r="A11" s="14">
        <f>IF(A10=A$8,1,A10+1)</f>
        <v>3</v>
      </c>
      <c r="B11" s="14"/>
      <c r="C11" s="11"/>
      <c r="D11" s="9"/>
      <c r="E11" s="8"/>
      <c r="F11" s="49"/>
      <c r="G11" s="8"/>
      <c r="H11" s="8"/>
      <c r="I11" s="60"/>
      <c r="J11" s="34">
        <f>I11*B11</f>
        <v>0</v>
      </c>
      <c r="K11" s="59">
        <f>B11*G$4</f>
        <v>0</v>
      </c>
      <c r="L11" s="58"/>
    </row>
    <row r="13" spans="1:13" x14ac:dyDescent="0.2">
      <c r="D13" s="17"/>
      <c r="E13" s="17"/>
      <c r="F13" s="17"/>
      <c r="G13" s="18" t="s">
        <v>16</v>
      </c>
      <c r="H13" s="19"/>
      <c r="I13" s="20">
        <f>SUM(J9:J11)</f>
        <v>0</v>
      </c>
    </row>
    <row r="14" spans="1:13" x14ac:dyDescent="0.2">
      <c r="D14" s="21" t="s">
        <v>17</v>
      </c>
      <c r="E14" s="17"/>
      <c r="F14" s="17"/>
      <c r="G14" s="18"/>
      <c r="H14" s="19"/>
      <c r="I14" s="20"/>
    </row>
    <row r="15" spans="1:13" x14ac:dyDescent="0.2">
      <c r="D15" s="17"/>
      <c r="E15" s="17" t="s">
        <v>18</v>
      </c>
      <c r="F15" s="17"/>
      <c r="G15" s="18"/>
      <c r="H15" s="19"/>
      <c r="I15" s="20">
        <f>G15</f>
        <v>0</v>
      </c>
    </row>
    <row r="16" spans="1:13" x14ac:dyDescent="0.2">
      <c r="D16" s="17"/>
      <c r="E16" s="17" t="s">
        <v>19</v>
      </c>
      <c r="F16" s="17"/>
      <c r="G16" s="18"/>
      <c r="H16" s="19"/>
      <c r="I16" s="20">
        <f>G16</f>
        <v>0</v>
      </c>
    </row>
    <row r="17" spans="4:9" x14ac:dyDescent="0.2">
      <c r="D17" s="17"/>
      <c r="E17" s="17" t="s">
        <v>20</v>
      </c>
      <c r="F17" s="17"/>
      <c r="G17" s="18"/>
      <c r="H17" s="19"/>
      <c r="I17" s="20">
        <f>G17</f>
        <v>0</v>
      </c>
    </row>
    <row r="18" spans="4:9" x14ac:dyDescent="0.2">
      <c r="D18" s="17"/>
      <c r="E18" s="17"/>
      <c r="F18" s="17"/>
      <c r="G18" s="18"/>
      <c r="H18" s="19"/>
      <c r="I18" s="20"/>
    </row>
    <row r="19" spans="4:9" x14ac:dyDescent="0.2">
      <c r="D19" s="17"/>
      <c r="E19" s="17"/>
      <c r="F19" s="17"/>
      <c r="G19" s="18"/>
      <c r="H19" s="19"/>
      <c r="I19" s="20"/>
    </row>
    <row r="20" spans="4:9" x14ac:dyDescent="0.2">
      <c r="D20" s="17"/>
      <c r="E20" s="17"/>
      <c r="F20" s="17"/>
      <c r="G20" s="61" t="s">
        <v>21</v>
      </c>
      <c r="H20" s="61"/>
      <c r="I20" s="22">
        <f>SUM(I13:I19)</f>
        <v>0</v>
      </c>
    </row>
    <row r="21" spans="4:9" x14ac:dyDescent="0.2">
      <c r="D21" s="23" t="s">
        <v>22</v>
      </c>
      <c r="E21" s="23"/>
      <c r="F21" s="23"/>
      <c r="G21" s="17"/>
      <c r="H21" s="18"/>
      <c r="I21" s="17"/>
    </row>
    <row r="22" spans="4:9" x14ac:dyDescent="0.2">
      <c r="D22" s="17"/>
      <c r="E22" s="17"/>
      <c r="F22" s="17"/>
      <c r="G22" s="17"/>
      <c r="H22" s="18"/>
      <c r="I22" s="19"/>
    </row>
    <row r="23" spans="4:9" x14ac:dyDescent="0.2">
      <c r="D23" s="17"/>
      <c r="E23" s="17" t="s">
        <v>23</v>
      </c>
      <c r="F23" s="17"/>
      <c r="G23" s="24" t="s">
        <v>24</v>
      </c>
      <c r="H23" s="18"/>
      <c r="I23" s="25"/>
    </row>
    <row r="24" spans="4:9" x14ac:dyDescent="0.2">
      <c r="D24" s="17"/>
      <c r="E24" s="17" t="s">
        <v>25</v>
      </c>
      <c r="F24" s="17"/>
      <c r="G24" s="24" t="s">
        <v>24</v>
      </c>
      <c r="H24" s="18"/>
      <c r="I24" s="25"/>
    </row>
    <row r="25" spans="4:9" x14ac:dyDescent="0.2">
      <c r="D25" s="17"/>
      <c r="E25" s="17" t="s">
        <v>26</v>
      </c>
      <c r="F25" s="17"/>
      <c r="G25" s="24" t="s">
        <v>24</v>
      </c>
      <c r="H25" s="18"/>
      <c r="I25" s="25"/>
    </row>
    <row r="26" spans="4:9" x14ac:dyDescent="0.2">
      <c r="D26" s="17"/>
      <c r="E26" s="17" t="s">
        <v>27</v>
      </c>
      <c r="F26" s="17"/>
      <c r="G26" s="24" t="s">
        <v>24</v>
      </c>
      <c r="H26" s="18"/>
      <c r="I26" s="25"/>
    </row>
    <row r="27" spans="4:9" x14ac:dyDescent="0.2">
      <c r="D27" s="17"/>
      <c r="E27" s="17" t="s">
        <v>28</v>
      </c>
      <c r="F27" s="17"/>
      <c r="G27" s="24" t="s">
        <v>24</v>
      </c>
      <c r="H27" s="18"/>
      <c r="I27" s="25"/>
    </row>
    <row r="28" spans="4:9" x14ac:dyDescent="0.2">
      <c r="D28" s="17"/>
      <c r="E28" s="17" t="s">
        <v>29</v>
      </c>
      <c r="F28" s="17"/>
      <c r="G28" s="24" t="s">
        <v>24</v>
      </c>
      <c r="H28" s="18"/>
      <c r="I28" s="25"/>
    </row>
    <row r="29" spans="4:9" x14ac:dyDescent="0.2">
      <c r="D29" s="17"/>
      <c r="E29" s="17" t="s">
        <v>30</v>
      </c>
      <c r="F29" s="17"/>
      <c r="G29" s="24" t="s">
        <v>24</v>
      </c>
      <c r="H29" s="18"/>
      <c r="I29" s="25"/>
    </row>
    <row r="30" spans="4:9" x14ac:dyDescent="0.2">
      <c r="D30" s="17"/>
      <c r="E30" s="17"/>
      <c r="F30" s="17"/>
      <c r="G30" s="24"/>
      <c r="H30" s="18"/>
      <c r="I30" s="25"/>
    </row>
    <row r="31" spans="4:9" x14ac:dyDescent="0.2">
      <c r="D31" s="17"/>
      <c r="E31" s="32"/>
      <c r="F31" s="17">
        <f>SUM(F23:F29)</f>
        <v>0</v>
      </c>
      <c r="G31" s="24" t="s">
        <v>24</v>
      </c>
      <c r="H31" s="18" t="s">
        <v>31</v>
      </c>
      <c r="I31" s="26">
        <f>(F31/60)*F40</f>
        <v>0</v>
      </c>
    </row>
    <row r="32" spans="4:9" x14ac:dyDescent="0.2">
      <c r="D32" s="17"/>
      <c r="E32" s="33"/>
      <c r="F32" s="17"/>
      <c r="G32" s="17"/>
      <c r="H32" s="18"/>
      <c r="I32" s="17"/>
    </row>
    <row r="33" spans="4:9" x14ac:dyDescent="0.2">
      <c r="D33" s="17"/>
      <c r="E33" s="64"/>
      <c r="F33" s="17"/>
      <c r="G33" s="63" t="s">
        <v>32</v>
      </c>
      <c r="H33" s="63"/>
      <c r="I33" s="22">
        <f>I31</f>
        <v>0</v>
      </c>
    </row>
    <row r="34" spans="4:9" x14ac:dyDescent="0.2">
      <c r="D34" s="17"/>
      <c r="E34" s="64"/>
      <c r="F34" s="19"/>
      <c r="G34" s="18"/>
      <c r="H34" s="17"/>
      <c r="I34" s="20"/>
    </row>
    <row r="35" spans="4:9" x14ac:dyDescent="0.2">
      <c r="D35" s="17"/>
      <c r="E35" s="64"/>
      <c r="F35" s="17"/>
      <c r="G35" s="62" t="s">
        <v>33</v>
      </c>
      <c r="H35" s="62"/>
      <c r="I35" s="22">
        <f>I20+I33</f>
        <v>0</v>
      </c>
    </row>
    <row r="36" spans="4:9" x14ac:dyDescent="0.2">
      <c r="D36" s="17"/>
      <c r="E36" s="64"/>
      <c r="F36" s="19"/>
      <c r="G36" s="18"/>
      <c r="H36" s="17"/>
      <c r="I36" s="20"/>
    </row>
    <row r="37" spans="4:9" x14ac:dyDescent="0.2">
      <c r="D37" s="17"/>
      <c r="E37" s="64"/>
      <c r="F37" s="17"/>
      <c r="G37" s="28" t="s">
        <v>34</v>
      </c>
      <c r="H37" s="29"/>
      <c r="I37" s="30">
        <f>I35/0.7</f>
        <v>0</v>
      </c>
    </row>
    <row r="38" spans="4:9" x14ac:dyDescent="0.2">
      <c r="D38" s="17"/>
      <c r="E38" s="64"/>
      <c r="F38" s="19"/>
      <c r="G38" s="18"/>
      <c r="H38" s="17"/>
      <c r="I38" s="20"/>
    </row>
    <row r="39" spans="4:9" x14ac:dyDescent="0.2">
      <c r="D39" s="17"/>
      <c r="E39" s="64"/>
      <c r="F39" s="19"/>
      <c r="G39" s="18"/>
      <c r="H39" s="17"/>
      <c r="I39" s="20"/>
    </row>
    <row r="40" spans="4:9" x14ac:dyDescent="0.2">
      <c r="D40" s="17"/>
      <c r="E40" s="64"/>
      <c r="F40" s="31">
        <f>[1]Sheet1!$B$1</f>
        <v>17.23</v>
      </c>
      <c r="G40" s="27" t="s">
        <v>35</v>
      </c>
      <c r="H40" s="17"/>
      <c r="I40" s="20"/>
    </row>
    <row r="41" spans="4:9" x14ac:dyDescent="0.2">
      <c r="D41" s="17"/>
      <c r="E41" s="64"/>
      <c r="F41" s="17"/>
      <c r="G41" s="17"/>
      <c r="H41" s="18"/>
      <c r="I41" s="19"/>
    </row>
    <row r="42" spans="4:9" x14ac:dyDescent="0.2">
      <c r="D42" s="17"/>
      <c r="E42" s="64"/>
      <c r="F42" s="17"/>
      <c r="G42" s="17"/>
      <c r="H42" s="18"/>
      <c r="I42" s="19"/>
    </row>
    <row r="43" spans="4:9" x14ac:dyDescent="0.2">
      <c r="D43" s="17"/>
      <c r="E43" s="64"/>
      <c r="F43" s="17"/>
      <c r="G43" s="17"/>
      <c r="H43" s="18"/>
      <c r="I43" s="19"/>
    </row>
    <row r="44" spans="4:9" x14ac:dyDescent="0.2">
      <c r="D44" s="17"/>
      <c r="E44" s="64"/>
      <c r="F44" s="17"/>
      <c r="G44" s="17"/>
      <c r="H44" s="18"/>
      <c r="I44" s="19"/>
    </row>
  </sheetData>
  <sortState ref="A9:L11">
    <sortCondition ref="L9:L11"/>
    <sortCondition ref="C9:C11"/>
  </sortState>
  <mergeCells count="10">
    <mergeCell ref="A2:D2"/>
    <mergeCell ref="A5:B5"/>
    <mergeCell ref="A4:B4"/>
    <mergeCell ref="A3:B3"/>
    <mergeCell ref="C3:D3"/>
    <mergeCell ref="G20:H20"/>
    <mergeCell ref="G35:H35"/>
    <mergeCell ref="G33:H33"/>
    <mergeCell ref="E33:E44"/>
    <mergeCell ref="A6:B6"/>
  </mergeCells>
  <phoneticPr fontId="0" type="noConversion"/>
  <conditionalFormatting sqref="F23:F29 G15:G17">
    <cfRule type="cellIs" dxfId="10" priority="214" stopIfTrue="1" operator="equal">
      <formula>""</formula>
    </cfRule>
  </conditionalFormatting>
  <conditionalFormatting sqref="L3:XFD7 L12:XFD1048576 N8:XFD9">
    <cfRule type="cellIs" dxfId="9" priority="156" operator="equal">
      <formula>""</formula>
    </cfRule>
  </conditionalFormatting>
  <conditionalFormatting sqref="N10:XFD11">
    <cfRule type="cellIs" dxfId="8" priority="43" operator="equal">
      <formula>""</formula>
    </cfRule>
  </conditionalFormatting>
  <conditionalFormatting sqref="A9:L9 K10:K11">
    <cfRule type="expression" dxfId="7" priority="9" stopIfTrue="1">
      <formula>$B9=0</formula>
    </cfRule>
    <cfRule type="expression" dxfId="6" priority="45">
      <formula>$L9="THT"</formula>
    </cfRule>
    <cfRule type="expression" dxfId="5" priority="232">
      <formula>MOD($A9,2)=1</formula>
    </cfRule>
  </conditionalFormatting>
  <conditionalFormatting sqref="A10:J11 L10:L11">
    <cfRule type="expression" dxfId="4" priority="2" stopIfTrue="1">
      <formula>$B10=0</formula>
    </cfRule>
    <cfRule type="expression" dxfId="3" priority="3">
      <formula>$L10="THT"</formula>
    </cfRule>
    <cfRule type="expression" dxfId="2" priority="4">
      <formula>MOD($A10,2)=1</formula>
    </cfRule>
  </conditionalFormatting>
  <conditionalFormatting sqref="I9:K9 K10:K11">
    <cfRule type="expression" dxfId="1" priority="5">
      <formula>$I9&lt;=0</formula>
    </cfRule>
  </conditionalFormatting>
  <conditionalFormatting sqref="I10:J11">
    <cfRule type="expression" dxfId="0" priority="1">
      <formula>$I10&lt;=0</formula>
    </cfRule>
  </conditionalFormatting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"/>
  <sheetViews>
    <sheetView workbookViewId="0">
      <selection activeCell="C17" sqref="C17"/>
    </sheetView>
  </sheetViews>
  <sheetFormatPr defaultRowHeight="12.75" x14ac:dyDescent="0.2"/>
  <cols>
    <col min="1" max="1" width="7.85546875" style="37" bestFit="1" customWidth="1"/>
    <col min="2" max="2" width="21.5703125" style="37" customWidth="1"/>
    <col min="3" max="3" width="18.85546875" style="38" customWidth="1"/>
    <col min="4" max="4" width="121.85546875" style="38" bestFit="1" customWidth="1"/>
    <col min="5" max="16384" width="9.140625" style="38"/>
  </cols>
  <sheetData>
    <row r="1" spans="1:4" ht="13.5" thickBot="1" x14ac:dyDescent="0.25">
      <c r="A1" s="51" t="s">
        <v>41</v>
      </c>
      <c r="B1" s="52" t="s">
        <v>42</v>
      </c>
      <c r="C1" s="53" t="s">
        <v>43</v>
      </c>
      <c r="D1" s="54" t="s">
        <v>44</v>
      </c>
    </row>
    <row r="2" spans="1:4" x14ac:dyDescent="0.2">
      <c r="A2" s="55" t="s">
        <v>45</v>
      </c>
      <c r="B2" s="56"/>
      <c r="C2" s="56"/>
      <c r="D2" s="57"/>
    </row>
    <row r="3" spans="1:4" x14ac:dyDescent="0.2">
      <c r="B3" s="39"/>
    </row>
    <row r="4" spans="1:4" x14ac:dyDescent="0.2">
      <c r="C4" s="39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BOM Change Log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Comberbach</dc:creator>
  <cp:lastModifiedBy>Craig Comberbach</cp:lastModifiedBy>
  <cp:lastPrinted>2002-11-05T13:50:54Z</cp:lastPrinted>
  <dcterms:created xsi:type="dcterms:W3CDTF">2000-10-27T00:30:29Z</dcterms:created>
  <dcterms:modified xsi:type="dcterms:W3CDTF">2013-06-04T17:33:36Z</dcterms:modified>
</cp:coreProperties>
</file>